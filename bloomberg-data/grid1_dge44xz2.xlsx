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13_ncr:1_{D4696D45-9CDF-4CD7-AFA4-AA67ABD2D249}" xr6:coauthVersionLast="47" xr6:coauthVersionMax="47" xr10:uidLastSave="{00000000-0000-0000-0000-000000000000}"/>
  <bookViews>
    <workbookView xWindow="-22005" yWindow="2790" windowWidth="21075" windowHeight="1287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4" i="2" l="1"/>
  <c r="F114" i="2"/>
  <c r="D114" i="2"/>
  <c r="C114" i="2"/>
  <c r="F113" i="2"/>
  <c r="G113" i="2" s="1"/>
  <c r="D113" i="2"/>
  <c r="C113" i="2"/>
  <c r="F112" i="2"/>
  <c r="G112" i="2" s="1"/>
  <c r="C112" i="2"/>
  <c r="D112" i="2" s="1"/>
  <c r="F111" i="2"/>
  <c r="G111" i="2" s="1"/>
  <c r="C111" i="2"/>
  <c r="D111" i="2" s="1"/>
  <c r="A8" i="2" a="1"/>
  <c r="E8" i="2" a="1"/>
  <c r="F105" i="2" l="1"/>
  <c r="G105" i="2" s="1"/>
  <c r="F93" i="2"/>
  <c r="G93" i="2" s="1"/>
  <c r="F47" i="2"/>
  <c r="G47" i="2" s="1"/>
  <c r="F81" i="2"/>
  <c r="G81" i="2" s="1"/>
  <c r="F70" i="2"/>
  <c r="G70" i="2" s="1"/>
  <c r="F58" i="2"/>
  <c r="G58" i="2" s="1"/>
  <c r="F12" i="2"/>
  <c r="G12" i="2" s="1"/>
  <c r="F33" i="2"/>
  <c r="G33" i="2" s="1"/>
  <c r="F67" i="2"/>
  <c r="G67" i="2" s="1"/>
  <c r="F56" i="2"/>
  <c r="G56" i="2" s="1"/>
  <c r="F44" i="2"/>
  <c r="G44" i="2" s="1"/>
  <c r="F110" i="2"/>
  <c r="G110" i="2" s="1"/>
  <c r="F95" i="2"/>
  <c r="G95" i="2" s="1"/>
  <c r="F94" i="2"/>
  <c r="G94" i="2" s="1"/>
  <c r="F104" i="2"/>
  <c r="G104" i="2" s="1"/>
  <c r="F46" i="2"/>
  <c r="G46" i="2" s="1"/>
  <c r="F35" i="2"/>
  <c r="G35" i="2" s="1"/>
  <c r="F23" i="2"/>
  <c r="G23" i="2" s="1"/>
  <c r="F79" i="2"/>
  <c r="G79" i="2" s="1"/>
  <c r="E8" i="2"/>
  <c r="F92" i="2"/>
  <c r="G92" i="2" s="1"/>
  <c r="F80" i="2"/>
  <c r="G80" i="2" s="1"/>
  <c r="F69" i="2"/>
  <c r="G69" i="2" s="1"/>
  <c r="F11" i="2"/>
  <c r="G11" i="2" s="1"/>
  <c r="F103" i="2"/>
  <c r="G103" i="2" s="1"/>
  <c r="F57" i="2"/>
  <c r="G57" i="2" s="1"/>
  <c r="F45" i="2"/>
  <c r="G45" i="2" s="1"/>
  <c r="F34" i="2"/>
  <c r="G34" i="2" s="1"/>
  <c r="F91" i="2"/>
  <c r="G91" i="2" s="1"/>
  <c r="F68" i="2"/>
  <c r="G68" i="2" s="1"/>
  <c r="F22" i="2"/>
  <c r="G22" i="2" s="1"/>
  <c r="F10" i="2"/>
  <c r="G10" i="2" s="1"/>
  <c r="F102" i="2"/>
  <c r="G102" i="2" s="1"/>
  <c r="F49" i="2"/>
  <c r="G49" i="2" s="1"/>
  <c r="F101" i="2"/>
  <c r="G101" i="2" s="1"/>
  <c r="F90" i="2"/>
  <c r="G90" i="2" s="1"/>
  <c r="F32" i="2"/>
  <c r="G32" i="2" s="1"/>
  <c r="F21" i="2"/>
  <c r="G21" i="2" s="1"/>
  <c r="F9" i="2"/>
  <c r="G9" i="2" s="1"/>
  <c r="F54" i="2"/>
  <c r="G54" i="2" s="1"/>
  <c r="F78" i="2"/>
  <c r="G78" i="2" s="1"/>
  <c r="F66" i="2"/>
  <c r="G66" i="2" s="1"/>
  <c r="F55" i="2"/>
  <c r="G55" i="2" s="1"/>
  <c r="F64" i="2"/>
  <c r="G64" i="2" s="1"/>
  <c r="F37" i="2"/>
  <c r="G37" i="2" s="1"/>
  <c r="F89" i="2"/>
  <c r="G89" i="2" s="1"/>
  <c r="F43" i="2"/>
  <c r="G43" i="2" s="1"/>
  <c r="F31" i="2"/>
  <c r="G31" i="2" s="1"/>
  <c r="F20" i="2"/>
  <c r="G20" i="2" s="1"/>
  <c r="F100" i="2"/>
  <c r="G100" i="2" s="1"/>
  <c r="F52" i="2"/>
  <c r="G52" i="2" s="1"/>
  <c r="F88" i="2"/>
  <c r="G88" i="2" s="1"/>
  <c r="F77" i="2"/>
  <c r="G77" i="2" s="1"/>
  <c r="F65" i="2"/>
  <c r="G65" i="2" s="1"/>
  <c r="F19" i="2"/>
  <c r="G19" i="2" s="1"/>
  <c r="F99" i="2"/>
  <c r="G99" i="2" s="1"/>
  <c r="F53" i="2"/>
  <c r="G53" i="2" s="1"/>
  <c r="F42" i="2"/>
  <c r="G42" i="2" s="1"/>
  <c r="F30" i="2"/>
  <c r="G30" i="2" s="1"/>
  <c r="F87" i="2"/>
  <c r="G87" i="2" s="1"/>
  <c r="F76" i="2"/>
  <c r="G76" i="2" s="1"/>
  <c r="F18" i="2"/>
  <c r="G18" i="2" s="1"/>
  <c r="F60" i="2"/>
  <c r="G60" i="2" s="1"/>
  <c r="F75" i="2"/>
  <c r="G75" i="2" s="1"/>
  <c r="F29" i="2"/>
  <c r="G29" i="2" s="1"/>
  <c r="F17" i="2"/>
  <c r="G17" i="2" s="1"/>
  <c r="F85" i="2"/>
  <c r="G85" i="2" s="1"/>
  <c r="F109" i="2"/>
  <c r="G109" i="2" s="1"/>
  <c r="F98" i="2"/>
  <c r="G98" i="2" s="1"/>
  <c r="F86" i="2"/>
  <c r="G86" i="2" s="1"/>
  <c r="F40" i="2"/>
  <c r="G40" i="2" s="1"/>
  <c r="F74" i="2"/>
  <c r="G74" i="2" s="1"/>
  <c r="F63" i="2"/>
  <c r="G63" i="2" s="1"/>
  <c r="F51" i="2"/>
  <c r="G51" i="2" s="1"/>
  <c r="F73" i="2"/>
  <c r="G73" i="2" s="1"/>
  <c r="F62" i="2"/>
  <c r="G62" i="2" s="1"/>
  <c r="F96" i="2"/>
  <c r="G96" i="2" s="1"/>
  <c r="F50" i="2"/>
  <c r="G50" i="2" s="1"/>
  <c r="F38" i="2"/>
  <c r="G38" i="2" s="1"/>
  <c r="F27" i="2"/>
  <c r="G27" i="2" s="1"/>
  <c r="F107" i="2"/>
  <c r="G107" i="2" s="1"/>
  <c r="F61" i="2"/>
  <c r="G61" i="2" s="1"/>
  <c r="F15" i="2"/>
  <c r="G15" i="2" s="1"/>
  <c r="F84" i="2"/>
  <c r="G84" i="2" s="1"/>
  <c r="F72" i="2"/>
  <c r="G72" i="2" s="1"/>
  <c r="F26" i="2"/>
  <c r="G26" i="2" s="1"/>
  <c r="F106" i="2"/>
  <c r="G106" i="2" s="1"/>
  <c r="F83" i="2"/>
  <c r="G83" i="2" s="1"/>
  <c r="F25" i="2"/>
  <c r="G25" i="2" s="1"/>
  <c r="F14" i="2"/>
  <c r="G14" i="2" s="1"/>
  <c r="F108" i="2"/>
  <c r="G108" i="2" s="1"/>
  <c r="F97" i="2"/>
  <c r="G97" i="2" s="1"/>
  <c r="F39" i="2"/>
  <c r="G39" i="2" s="1"/>
  <c r="F28" i="2"/>
  <c r="G28" i="2" s="1"/>
  <c r="F16" i="2"/>
  <c r="G16" i="2" s="1"/>
  <c r="F71" i="2"/>
  <c r="G71" i="2" s="1"/>
  <c r="F59" i="2"/>
  <c r="G59" i="2" s="1"/>
  <c r="F48" i="2"/>
  <c r="G48" i="2" s="1"/>
  <c r="F82" i="2"/>
  <c r="G82" i="2" s="1"/>
  <c r="F36" i="2"/>
  <c r="G36" i="2" s="1"/>
  <c r="F24" i="2"/>
  <c r="G24" i="2" s="1"/>
  <c r="F13" i="2"/>
  <c r="G13" i="2" s="1"/>
  <c r="F41" i="2"/>
  <c r="G41" i="2" s="1"/>
  <c r="C82" i="2"/>
  <c r="D82" i="2" s="1"/>
  <c r="C71" i="2"/>
  <c r="D71" i="2" s="1"/>
  <c r="C24" i="2"/>
  <c r="D24" i="2" s="1"/>
  <c r="C13" i="2"/>
  <c r="D13" i="2" s="1"/>
  <c r="C68" i="2"/>
  <c r="D68" i="2" s="1"/>
  <c r="C8" i="2"/>
  <c r="D8" i="2" s="1"/>
  <c r="C15" i="2"/>
  <c r="D15" i="2" s="1"/>
  <c r="A8" i="2"/>
  <c r="C105" i="2"/>
  <c r="D105" i="2" s="1"/>
  <c r="C47" i="2"/>
  <c r="D47" i="2" s="1"/>
  <c r="C36" i="2"/>
  <c r="D36" i="2" s="1"/>
  <c r="C10" i="2"/>
  <c r="D10" i="2" s="1"/>
  <c r="C102" i="2"/>
  <c r="D102" i="2" s="1"/>
  <c r="C91" i="2"/>
  <c r="D91" i="2" s="1"/>
  <c r="C33" i="2"/>
  <c r="D33" i="2" s="1"/>
  <c r="C22" i="2"/>
  <c r="D22" i="2" s="1"/>
  <c r="C78" i="2"/>
  <c r="D78" i="2" s="1"/>
  <c r="C18" i="2"/>
  <c r="D18" i="2" s="1"/>
  <c r="C26" i="2"/>
  <c r="D26" i="2" s="1"/>
  <c r="C93" i="2"/>
  <c r="D93" i="2" s="1"/>
  <c r="C81" i="2"/>
  <c r="D81" i="2" s="1"/>
  <c r="C70" i="2"/>
  <c r="D70" i="2" s="1"/>
  <c r="C12" i="2"/>
  <c r="D12" i="2" s="1"/>
  <c r="C104" i="2"/>
  <c r="D104" i="2" s="1"/>
  <c r="C58" i="2"/>
  <c r="D58" i="2" s="1"/>
  <c r="C46" i="2"/>
  <c r="D46" i="2" s="1"/>
  <c r="C35" i="2"/>
  <c r="D35" i="2" s="1"/>
  <c r="C57" i="2"/>
  <c r="D57" i="2" s="1"/>
  <c r="C80" i="2"/>
  <c r="D80" i="2" s="1"/>
  <c r="C69" i="2"/>
  <c r="D69" i="2" s="1"/>
  <c r="C23" i="2"/>
  <c r="D23" i="2" s="1"/>
  <c r="C11" i="2"/>
  <c r="D11" i="2" s="1"/>
  <c r="C30" i="2"/>
  <c r="D30" i="2" s="1"/>
  <c r="C103" i="2"/>
  <c r="D103" i="2" s="1"/>
  <c r="C92" i="2"/>
  <c r="D92" i="2" s="1"/>
  <c r="C45" i="2"/>
  <c r="D45" i="2" s="1"/>
  <c r="C34" i="2"/>
  <c r="D34" i="2" s="1"/>
  <c r="C79" i="2"/>
  <c r="D79" i="2" s="1"/>
  <c r="C67" i="2"/>
  <c r="D67" i="2" s="1"/>
  <c r="C56" i="2"/>
  <c r="D56" i="2" s="1"/>
  <c r="C31" i="2"/>
  <c r="D31" i="2" s="1"/>
  <c r="C20" i="2"/>
  <c r="D20" i="2" s="1"/>
  <c r="C76" i="2"/>
  <c r="D76" i="2" s="1"/>
  <c r="C95" i="2"/>
  <c r="D95" i="2" s="1"/>
  <c r="C101" i="2"/>
  <c r="D101" i="2" s="1"/>
  <c r="C90" i="2"/>
  <c r="D90" i="2" s="1"/>
  <c r="C44" i="2"/>
  <c r="D44" i="2" s="1"/>
  <c r="C32" i="2"/>
  <c r="D32" i="2" s="1"/>
  <c r="C21" i="2"/>
  <c r="D21" i="2" s="1"/>
  <c r="C89" i="2"/>
  <c r="D89" i="2" s="1"/>
  <c r="C66" i="2"/>
  <c r="D66" i="2" s="1"/>
  <c r="C55" i="2"/>
  <c r="D55" i="2" s="1"/>
  <c r="C9" i="2"/>
  <c r="D9" i="2" s="1"/>
  <c r="C84" i="2"/>
  <c r="D84" i="2" s="1"/>
  <c r="C54" i="2"/>
  <c r="D54" i="2" s="1"/>
  <c r="C43" i="2"/>
  <c r="D43" i="2" s="1"/>
  <c r="C100" i="2"/>
  <c r="D100" i="2" s="1"/>
  <c r="C88" i="2"/>
  <c r="D88" i="2" s="1"/>
  <c r="C77" i="2"/>
  <c r="D77" i="2" s="1"/>
  <c r="C19" i="2"/>
  <c r="D19" i="2" s="1"/>
  <c r="C65" i="2"/>
  <c r="D65" i="2" s="1"/>
  <c r="C53" i="2"/>
  <c r="D53" i="2" s="1"/>
  <c r="C42" i="2"/>
  <c r="D42" i="2" s="1"/>
  <c r="C87" i="2"/>
  <c r="D87" i="2" s="1"/>
  <c r="C110" i="2"/>
  <c r="D110" i="2" s="1"/>
  <c r="C99" i="2"/>
  <c r="D99" i="2" s="1"/>
  <c r="C52" i="2"/>
  <c r="D52" i="2" s="1"/>
  <c r="C41" i="2"/>
  <c r="D41" i="2" s="1"/>
  <c r="C96" i="2"/>
  <c r="D96" i="2" s="1"/>
  <c r="C75" i="2"/>
  <c r="D75" i="2" s="1"/>
  <c r="C64" i="2"/>
  <c r="D64" i="2" s="1"/>
  <c r="C17" i="2"/>
  <c r="D17" i="2" s="1"/>
  <c r="C109" i="2"/>
  <c r="D109" i="2" s="1"/>
  <c r="C98" i="2"/>
  <c r="D98" i="2" s="1"/>
  <c r="C40" i="2"/>
  <c r="D40" i="2" s="1"/>
  <c r="C29" i="2"/>
  <c r="D29" i="2" s="1"/>
  <c r="C108" i="2"/>
  <c r="D108" i="2" s="1"/>
  <c r="C51" i="2"/>
  <c r="D51" i="2" s="1"/>
  <c r="C39" i="2"/>
  <c r="D39" i="2" s="1"/>
  <c r="C28" i="2"/>
  <c r="D28" i="2" s="1"/>
  <c r="C73" i="2"/>
  <c r="D73" i="2" s="1"/>
  <c r="C62" i="2"/>
  <c r="D62" i="2" s="1"/>
  <c r="C16" i="2"/>
  <c r="D16" i="2" s="1"/>
  <c r="C38" i="2"/>
  <c r="D38" i="2" s="1"/>
  <c r="C27" i="2"/>
  <c r="D27" i="2" s="1"/>
  <c r="C61" i="2"/>
  <c r="D61" i="2" s="1"/>
  <c r="C50" i="2"/>
  <c r="D50" i="2" s="1"/>
  <c r="C107" i="2"/>
  <c r="D107" i="2" s="1"/>
  <c r="C72" i="2"/>
  <c r="D72" i="2" s="1"/>
  <c r="C60" i="2"/>
  <c r="D60" i="2" s="1"/>
  <c r="C49" i="2"/>
  <c r="D49" i="2" s="1"/>
  <c r="C86" i="2"/>
  <c r="D86" i="2" s="1"/>
  <c r="C74" i="2"/>
  <c r="D74" i="2" s="1"/>
  <c r="C63" i="2"/>
  <c r="D63" i="2" s="1"/>
  <c r="C97" i="2"/>
  <c r="D97" i="2" s="1"/>
  <c r="C85" i="2"/>
  <c r="D85" i="2" s="1"/>
  <c r="C94" i="2"/>
  <c r="D94" i="2" s="1"/>
  <c r="C83" i="2"/>
  <c r="D83" i="2" s="1"/>
  <c r="C37" i="2"/>
  <c r="D37" i="2" s="1"/>
  <c r="C25" i="2"/>
  <c r="D25" i="2" s="1"/>
  <c r="C14" i="2"/>
  <c r="D14" i="2" s="1"/>
  <c r="C106" i="2"/>
  <c r="D106" i="2" s="1"/>
  <c r="C59" i="2"/>
  <c r="D59" i="2" s="1"/>
  <c r="C48" i="2"/>
  <c r="D48" i="2" s="1"/>
  <c r="F8" i="2"/>
  <c r="G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<sst xmlns="http://schemas.openxmlformats.org/spreadsheetml/2006/main" count="15" uniqueCount="13">
  <si>
    <t>Security</t>
  </si>
  <si>
    <t>VIX Index</t>
  </si>
  <si>
    <t>Start Date</t>
  </si>
  <si>
    <t>End Date</t>
  </si>
  <si>
    <t>Period</t>
  </si>
  <si>
    <t>D</t>
  </si>
  <si>
    <t>Currency</t>
  </si>
  <si>
    <t>USD</t>
  </si>
  <si>
    <t>Date</t>
  </si>
  <si>
    <t>PX_OPEN</t>
  </si>
  <si>
    <t>Change</t>
  </si>
  <si>
    <t>% Change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</si>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</sst>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BDH|16267148464346599162</stp>
        <tr r="A8" s="2"/>
      </tp>
    </main>
    <main first="bofaddin.rtdserver">
      <tp t="s">
        <v>#N/A N/A</v>
        <stp/>
        <stp>BDH|2985866633520258849</stp>
        <tr r="E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selection activeCell="M8" sqref="M8"/>
    </sheetView>
  </sheetViews>
  <sheetFormatPr defaultRowHeight="15" x14ac:dyDescent="0.25"/>
  <cols>
    <col min="1" max="1" width="9.140625" bestFit="1" customWidth="1"/>
    <col min="2" max="2" width="16" bestFit="1" customWidth="1"/>
    <col min="3" max="7" width="9.14062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s="2">
        <v>39813</v>
      </c>
    </row>
    <row r="3" spans="1:7" x14ac:dyDescent="0.25">
      <c r="A3" t="s">
        <v>3</v>
      </c>
      <c r="B3" s="2">
        <v>39962</v>
      </c>
    </row>
    <row r="4" spans="1:7" x14ac:dyDescent="0.25">
      <c r="A4" t="s">
        <v>4</v>
      </c>
      <c r="B4" t="s">
        <v>5</v>
      </c>
    </row>
    <row r="5" spans="1:7" x14ac:dyDescent="0.25">
      <c r="A5" t="s">
        <v>6</v>
      </c>
      <c r="B5" t="s">
        <v>7</v>
      </c>
    </row>
    <row r="7" spans="1:7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10</v>
      </c>
      <c r="G7" t="s">
        <v>11</v>
      </c>
    </row>
    <row r="8" spans="1:7" x14ac:dyDescent="0.25">
      <c r="A8" s="1" cm="1">
        <f t="array" ref="A8:B110">_xll.BDH(B1,B7,B2,B3,"Dir=V","Dts=S","Sort=D","Quote=C","QtTyp=P","Days=T",CONCATENATE("Per=c",B4),"DtFmt=D","UseDPDF=Y",CONCATENATE("FX=",B5))</f>
        <v>39962</v>
      </c>
      <c r="B8">
        <v>31.67</v>
      </c>
      <c r="C8">
        <f t="shared" ref="C8:C39" si="0">IF(AND(ISNUMBER(B8),ISNUMBER(B9)), (B8 - B9), "")</f>
        <v>0.13000000000000256</v>
      </c>
      <c r="D8">
        <f t="shared" ref="D8:D39" si="1">IF(AND(ISNUMBER(C8),ISNUMBER(B9)), (100*C8/ABS(B9)), "")</f>
        <v>0.41217501585289334</v>
      </c>
      <c r="E8" cm="1">
        <f t="array" ref="E8:E110">_xll.BDH(B1,E7,B2,B3,"Dir=V","Sort=D","Quote=C","QtTyp=P","Days=T","Dates=H",CONCATENATE("Per=c",B4),"DtFmt=D","UseDPDF=Y",CONCATENATE("FX=",B5))</f>
        <v>28.92</v>
      </c>
      <c r="F8">
        <f t="shared" ref="F8:F39" si="2">IF(AND(ISNUMBER(E8),ISNUMBER(E9)), (E8 - E9), "")</f>
        <v>-2.75</v>
      </c>
      <c r="G8">
        <f t="shared" ref="G8:G39" si="3">IF(AND(ISNUMBER(F8),ISNUMBER(E9)), (100*F8/ABS(E9)), "")</f>
        <v>-8.6832964951057772</v>
      </c>
    </row>
    <row r="9" spans="1:7" x14ac:dyDescent="0.25">
      <c r="A9" s="1">
        <v>39961</v>
      </c>
      <c r="B9">
        <v>31.54</v>
      </c>
      <c r="C9">
        <f t="shared" si="0"/>
        <v>0.73999999999999844</v>
      </c>
      <c r="D9">
        <f t="shared" si="1"/>
        <v>2.4025974025973973</v>
      </c>
      <c r="E9">
        <v>31.67</v>
      </c>
      <c r="F9">
        <f t="shared" si="2"/>
        <v>-0.68999999999999773</v>
      </c>
      <c r="G9">
        <f t="shared" si="3"/>
        <v>-2.1322620519159385</v>
      </c>
    </row>
    <row r="10" spans="1:7" x14ac:dyDescent="0.25">
      <c r="A10" s="1">
        <v>39960</v>
      </c>
      <c r="B10">
        <v>30.8</v>
      </c>
      <c r="C10">
        <f t="shared" si="0"/>
        <v>-3.7699999999999996</v>
      </c>
      <c r="D10">
        <f t="shared" si="1"/>
        <v>-10.905409314434479</v>
      </c>
      <c r="E10">
        <v>32.36</v>
      </c>
      <c r="F10">
        <f t="shared" si="2"/>
        <v>1.7399999999999984</v>
      </c>
      <c r="G10">
        <f t="shared" si="3"/>
        <v>5.6825604180274274</v>
      </c>
    </row>
    <row r="11" spans="1:7" x14ac:dyDescent="0.25">
      <c r="A11" s="1">
        <v>39959</v>
      </c>
      <c r="B11">
        <v>34.57</v>
      </c>
      <c r="C11">
        <f t="shared" si="0"/>
        <v>3.2100000000000009</v>
      </c>
      <c r="D11">
        <f t="shared" si="1"/>
        <v>10.235969387755105</v>
      </c>
      <c r="E11">
        <v>30.62</v>
      </c>
      <c r="F11">
        <f t="shared" si="2"/>
        <v>-2.0100000000000016</v>
      </c>
      <c r="G11">
        <f t="shared" si="3"/>
        <v>-6.1599754826846507</v>
      </c>
    </row>
    <row r="12" spans="1:7" x14ac:dyDescent="0.25">
      <c r="A12" s="1">
        <v>39955</v>
      </c>
      <c r="B12">
        <v>31.36</v>
      </c>
      <c r="C12">
        <f t="shared" si="0"/>
        <v>2.3299999999999983</v>
      </c>
      <c r="D12">
        <f t="shared" si="1"/>
        <v>8.0261798139855252</v>
      </c>
      <c r="E12">
        <v>32.630000000000003</v>
      </c>
      <c r="F12">
        <f t="shared" si="2"/>
        <v>1.2800000000000011</v>
      </c>
      <c r="G12">
        <f t="shared" si="3"/>
        <v>4.082934609250402</v>
      </c>
    </row>
    <row r="13" spans="1:7" x14ac:dyDescent="0.25">
      <c r="A13" s="1">
        <v>39954</v>
      </c>
      <c r="B13">
        <v>29.03</v>
      </c>
      <c r="C13">
        <f t="shared" si="0"/>
        <v>1.5600000000000023</v>
      </c>
      <c r="D13">
        <f t="shared" si="1"/>
        <v>5.6789224608664082</v>
      </c>
      <c r="E13">
        <v>31.35</v>
      </c>
      <c r="F13">
        <f t="shared" si="2"/>
        <v>2.3200000000000003</v>
      </c>
      <c r="G13">
        <f t="shared" si="3"/>
        <v>7.9917326903203589</v>
      </c>
    </row>
    <row r="14" spans="1:7" x14ac:dyDescent="0.25">
      <c r="A14" s="1">
        <v>39953</v>
      </c>
      <c r="B14">
        <v>27.47</v>
      </c>
      <c r="C14">
        <f t="shared" si="0"/>
        <v>-2.7600000000000016</v>
      </c>
      <c r="D14">
        <f t="shared" si="1"/>
        <v>-9.1300033079722187</v>
      </c>
      <c r="E14">
        <v>29.03</v>
      </c>
      <c r="F14">
        <f t="shared" si="2"/>
        <v>0.23000000000000043</v>
      </c>
      <c r="G14">
        <f t="shared" si="3"/>
        <v>0.7986111111111126</v>
      </c>
    </row>
    <row r="15" spans="1:7" x14ac:dyDescent="0.25">
      <c r="A15" s="1">
        <v>39952</v>
      </c>
      <c r="B15">
        <v>30.23</v>
      </c>
      <c r="C15">
        <f t="shared" si="0"/>
        <v>-2.6799999999999962</v>
      </c>
      <c r="D15">
        <f t="shared" si="1"/>
        <v>-8.143421452446054</v>
      </c>
      <c r="E15">
        <v>28.8</v>
      </c>
      <c r="F15">
        <f t="shared" si="2"/>
        <v>-1.4399999999999977</v>
      </c>
      <c r="G15">
        <f t="shared" si="3"/>
        <v>-4.7619047619047548</v>
      </c>
    </row>
    <row r="16" spans="1:7" x14ac:dyDescent="0.25">
      <c r="A16" s="1">
        <v>39951</v>
      </c>
      <c r="B16">
        <v>32.909999999999997</v>
      </c>
      <c r="C16">
        <f t="shared" si="0"/>
        <v>1.5499999999999972</v>
      </c>
      <c r="D16">
        <f t="shared" si="1"/>
        <v>4.9426020408163174</v>
      </c>
      <c r="E16">
        <v>30.24</v>
      </c>
      <c r="F16">
        <f t="shared" si="2"/>
        <v>-2.879999999999999</v>
      </c>
      <c r="G16">
        <f t="shared" si="3"/>
        <v>-8.6956521739130412</v>
      </c>
    </row>
    <row r="17" spans="1:7" x14ac:dyDescent="0.25">
      <c r="A17" s="1">
        <v>39948</v>
      </c>
      <c r="B17">
        <v>31.36</v>
      </c>
      <c r="C17">
        <f t="shared" si="0"/>
        <v>-2.2899999999999991</v>
      </c>
      <c r="D17">
        <f t="shared" si="1"/>
        <v>-6.8053491827637425</v>
      </c>
      <c r="E17">
        <v>33.119999999999997</v>
      </c>
      <c r="F17">
        <f t="shared" si="2"/>
        <v>1.7499999999999964</v>
      </c>
      <c r="G17">
        <f t="shared" si="3"/>
        <v>5.5785782594835718</v>
      </c>
    </row>
    <row r="18" spans="1:7" x14ac:dyDescent="0.25">
      <c r="A18" s="1">
        <v>39947</v>
      </c>
      <c r="B18">
        <v>33.65</v>
      </c>
      <c r="C18">
        <f t="shared" si="0"/>
        <v>0.67999999999999972</v>
      </c>
      <c r="D18">
        <f t="shared" si="1"/>
        <v>2.0624810433727623</v>
      </c>
      <c r="E18">
        <v>31.37</v>
      </c>
      <c r="F18">
        <f t="shared" si="2"/>
        <v>-2.2799999999999976</v>
      </c>
      <c r="G18">
        <f t="shared" si="3"/>
        <v>-6.7756315007429357</v>
      </c>
    </row>
    <row r="19" spans="1:7" x14ac:dyDescent="0.25">
      <c r="A19" s="1">
        <v>39946</v>
      </c>
      <c r="B19">
        <v>32.97</v>
      </c>
      <c r="C19">
        <f t="shared" si="0"/>
        <v>0.28999999999999915</v>
      </c>
      <c r="D19">
        <f t="shared" si="1"/>
        <v>0.88739290085679057</v>
      </c>
      <c r="E19">
        <v>33.65</v>
      </c>
      <c r="F19">
        <f t="shared" si="2"/>
        <v>1.8499999999999979</v>
      </c>
      <c r="G19">
        <f t="shared" si="3"/>
        <v>5.8176100628930749</v>
      </c>
    </row>
    <row r="20" spans="1:7" x14ac:dyDescent="0.25">
      <c r="A20" s="1">
        <v>39945</v>
      </c>
      <c r="B20">
        <v>32.68</v>
      </c>
      <c r="C20">
        <f t="shared" si="0"/>
        <v>0.63000000000000256</v>
      </c>
      <c r="D20">
        <f t="shared" si="1"/>
        <v>1.9656786271450939</v>
      </c>
      <c r="E20">
        <v>31.8</v>
      </c>
      <c r="F20">
        <f t="shared" si="2"/>
        <v>-1.0699999999999967</v>
      </c>
      <c r="G20">
        <f t="shared" si="3"/>
        <v>-3.2552479464557251</v>
      </c>
    </row>
    <row r="21" spans="1:7" x14ac:dyDescent="0.25">
      <c r="A21" s="1">
        <v>39944</v>
      </c>
      <c r="B21">
        <v>32.049999999999997</v>
      </c>
      <c r="C21">
        <f t="shared" si="0"/>
        <v>-0.31000000000000227</v>
      </c>
      <c r="D21">
        <f t="shared" si="1"/>
        <v>-0.95797280593325795</v>
      </c>
      <c r="E21">
        <v>32.869999999999997</v>
      </c>
      <c r="F21">
        <f t="shared" si="2"/>
        <v>0.82000000000000028</v>
      </c>
      <c r="G21">
        <f t="shared" si="3"/>
        <v>2.5585023400936047</v>
      </c>
    </row>
    <row r="22" spans="1:7" x14ac:dyDescent="0.25">
      <c r="A22" s="1">
        <v>39941</v>
      </c>
      <c r="B22">
        <v>32.36</v>
      </c>
      <c r="C22">
        <f t="shared" si="0"/>
        <v>0.25999999999999801</v>
      </c>
      <c r="D22">
        <f t="shared" si="1"/>
        <v>0.80996884735201868</v>
      </c>
      <c r="E22">
        <v>32.049999999999997</v>
      </c>
      <c r="F22">
        <f t="shared" si="2"/>
        <v>-1.3900000000000006</v>
      </c>
      <c r="G22">
        <f t="shared" si="3"/>
        <v>-4.1566985645933032</v>
      </c>
    </row>
    <row r="23" spans="1:7" x14ac:dyDescent="0.25">
      <c r="A23" s="1">
        <v>39940</v>
      </c>
      <c r="B23">
        <v>32.1</v>
      </c>
      <c r="C23">
        <f t="shared" si="0"/>
        <v>-1.259999999999998</v>
      </c>
      <c r="D23">
        <f t="shared" si="1"/>
        <v>-3.7769784172661813</v>
      </c>
      <c r="E23">
        <v>33.44</v>
      </c>
      <c r="F23">
        <f t="shared" si="2"/>
        <v>0.98999999999999488</v>
      </c>
      <c r="G23">
        <f t="shared" si="3"/>
        <v>3.0508474576271025</v>
      </c>
    </row>
    <row r="24" spans="1:7" x14ac:dyDescent="0.25">
      <c r="A24" s="1">
        <v>39939</v>
      </c>
      <c r="B24">
        <v>33.36</v>
      </c>
      <c r="C24">
        <f t="shared" si="0"/>
        <v>-1.1799999999999997</v>
      </c>
      <c r="D24">
        <f t="shared" si="1"/>
        <v>-3.4163288940358996</v>
      </c>
      <c r="E24">
        <v>32.450000000000003</v>
      </c>
      <c r="F24">
        <f t="shared" si="2"/>
        <v>-0.90999999999999659</v>
      </c>
      <c r="G24">
        <f t="shared" si="3"/>
        <v>-2.727817745803347</v>
      </c>
    </row>
    <row r="25" spans="1:7" x14ac:dyDescent="0.25">
      <c r="A25" s="1">
        <v>39938</v>
      </c>
      <c r="B25">
        <v>34.54</v>
      </c>
      <c r="C25">
        <f t="shared" si="0"/>
        <v>-0.75999999999999801</v>
      </c>
      <c r="D25">
        <f t="shared" si="1"/>
        <v>-2.1529745042492863</v>
      </c>
      <c r="E25">
        <v>33.36</v>
      </c>
      <c r="F25">
        <f t="shared" si="2"/>
        <v>-1.1700000000000017</v>
      </c>
      <c r="G25">
        <f t="shared" si="3"/>
        <v>-3.3883579496090404</v>
      </c>
    </row>
    <row r="26" spans="1:7" x14ac:dyDescent="0.25">
      <c r="A26" s="1">
        <v>39937</v>
      </c>
      <c r="B26">
        <v>35.299999999999997</v>
      </c>
      <c r="C26">
        <f t="shared" si="0"/>
        <v>-1.2000000000000028</v>
      </c>
      <c r="D26">
        <f t="shared" si="1"/>
        <v>-3.2876712328767201</v>
      </c>
      <c r="E26">
        <v>34.53</v>
      </c>
      <c r="F26">
        <f t="shared" si="2"/>
        <v>-0.76999999999999602</v>
      </c>
      <c r="G26">
        <f t="shared" si="3"/>
        <v>-2.1813031161472978</v>
      </c>
    </row>
    <row r="27" spans="1:7" x14ac:dyDescent="0.25">
      <c r="A27" s="1">
        <v>39934</v>
      </c>
      <c r="B27">
        <v>36.5</v>
      </c>
      <c r="C27">
        <f t="shared" si="0"/>
        <v>0.40999999999999659</v>
      </c>
      <c r="D27">
        <f t="shared" si="1"/>
        <v>1.1360487669714507</v>
      </c>
      <c r="E27">
        <v>35.299999999999997</v>
      </c>
      <c r="F27">
        <f t="shared" si="2"/>
        <v>-1.2000000000000028</v>
      </c>
      <c r="G27">
        <f t="shared" si="3"/>
        <v>-3.2876712328767201</v>
      </c>
    </row>
    <row r="28" spans="1:7" x14ac:dyDescent="0.25">
      <c r="A28" s="1">
        <v>39933</v>
      </c>
      <c r="B28">
        <v>36.090000000000003</v>
      </c>
      <c r="C28">
        <f t="shared" si="0"/>
        <v>-1.8599999999999994</v>
      </c>
      <c r="D28">
        <f t="shared" si="1"/>
        <v>-4.9011857707509865</v>
      </c>
      <c r="E28">
        <v>36.5</v>
      </c>
      <c r="F28">
        <f t="shared" si="2"/>
        <v>0.42000000000000171</v>
      </c>
      <c r="G28">
        <f t="shared" si="3"/>
        <v>1.1640798226164129</v>
      </c>
    </row>
    <row r="29" spans="1:7" x14ac:dyDescent="0.25">
      <c r="A29" s="1">
        <v>39932</v>
      </c>
      <c r="B29">
        <v>37.950000000000003</v>
      </c>
      <c r="C29">
        <f t="shared" si="0"/>
        <v>-1.4799999999999969</v>
      </c>
      <c r="D29">
        <f t="shared" si="1"/>
        <v>-3.7534871924930178</v>
      </c>
      <c r="E29">
        <v>36.08</v>
      </c>
      <c r="F29">
        <f t="shared" si="2"/>
        <v>-1.8700000000000045</v>
      </c>
      <c r="G29">
        <f t="shared" si="3"/>
        <v>-4.9275362318840692</v>
      </c>
    </row>
    <row r="30" spans="1:7" x14ac:dyDescent="0.25">
      <c r="A30" s="1">
        <v>39931</v>
      </c>
      <c r="B30">
        <v>39.43</v>
      </c>
      <c r="C30">
        <f t="shared" si="0"/>
        <v>-3.0000000000001137E-2</v>
      </c>
      <c r="D30">
        <f t="shared" si="1"/>
        <v>-7.6026355803348045E-2</v>
      </c>
      <c r="E30">
        <v>37.950000000000003</v>
      </c>
      <c r="F30">
        <f t="shared" si="2"/>
        <v>-0.36999999999999744</v>
      </c>
      <c r="G30">
        <f t="shared" si="3"/>
        <v>-0.96555323590813524</v>
      </c>
    </row>
    <row r="31" spans="1:7" x14ac:dyDescent="0.25">
      <c r="A31" s="1">
        <v>39930</v>
      </c>
      <c r="B31">
        <v>39.46</v>
      </c>
      <c r="C31">
        <f t="shared" si="0"/>
        <v>2.6000000000000014</v>
      </c>
      <c r="D31">
        <f t="shared" si="1"/>
        <v>7.0537167661421627</v>
      </c>
      <c r="E31">
        <v>38.32</v>
      </c>
      <c r="F31">
        <f t="shared" si="2"/>
        <v>1.5</v>
      </c>
      <c r="G31">
        <f t="shared" si="3"/>
        <v>4.0738728951656711</v>
      </c>
    </row>
    <row r="32" spans="1:7" x14ac:dyDescent="0.25">
      <c r="A32" s="1">
        <v>39927</v>
      </c>
      <c r="B32">
        <v>36.86</v>
      </c>
      <c r="C32">
        <f t="shared" si="0"/>
        <v>-1.240000000000002</v>
      </c>
      <c r="D32">
        <f t="shared" si="1"/>
        <v>-3.2545931758530235</v>
      </c>
      <c r="E32">
        <v>36.82</v>
      </c>
      <c r="F32">
        <f t="shared" si="2"/>
        <v>-0.32999999999999829</v>
      </c>
      <c r="G32">
        <f t="shared" si="3"/>
        <v>-0.88829071332435616</v>
      </c>
    </row>
    <row r="33" spans="1:7" x14ac:dyDescent="0.25">
      <c r="A33" s="1">
        <v>39926</v>
      </c>
      <c r="B33">
        <v>38.1</v>
      </c>
      <c r="C33">
        <f t="shared" si="0"/>
        <v>0.96000000000000085</v>
      </c>
      <c r="D33">
        <f t="shared" si="1"/>
        <v>2.5848142164781929</v>
      </c>
      <c r="E33">
        <v>37.15</v>
      </c>
      <c r="F33">
        <f t="shared" si="2"/>
        <v>-0.95000000000000284</v>
      </c>
      <c r="G33">
        <f t="shared" si="3"/>
        <v>-2.493438320209981</v>
      </c>
    </row>
    <row r="34" spans="1:7" x14ac:dyDescent="0.25">
      <c r="A34" s="1">
        <v>39925</v>
      </c>
      <c r="B34">
        <v>37.14</v>
      </c>
      <c r="C34">
        <f t="shared" si="0"/>
        <v>-3.1300000000000026</v>
      </c>
      <c r="D34">
        <f t="shared" si="1"/>
        <v>-7.7725353861435362</v>
      </c>
      <c r="E34">
        <v>38.1</v>
      </c>
      <c r="F34">
        <f t="shared" si="2"/>
        <v>0.96000000000000085</v>
      </c>
      <c r="G34">
        <f t="shared" si="3"/>
        <v>2.5848142164781929</v>
      </c>
    </row>
    <row r="35" spans="1:7" x14ac:dyDescent="0.25">
      <c r="A35" s="1">
        <v>39924</v>
      </c>
      <c r="B35">
        <v>40.270000000000003</v>
      </c>
      <c r="C35">
        <f t="shared" si="0"/>
        <v>6.3300000000000054</v>
      </c>
      <c r="D35">
        <f t="shared" si="1"/>
        <v>18.650559811431958</v>
      </c>
      <c r="E35">
        <v>37.14</v>
      </c>
      <c r="F35">
        <f t="shared" si="2"/>
        <v>-2.0399999999999991</v>
      </c>
      <c r="G35">
        <f t="shared" si="3"/>
        <v>-5.2067381316998445</v>
      </c>
    </row>
    <row r="36" spans="1:7" x14ac:dyDescent="0.25">
      <c r="A36" s="1">
        <v>39923</v>
      </c>
      <c r="B36">
        <v>33.94</v>
      </c>
      <c r="C36">
        <f t="shared" si="0"/>
        <v>-1.4200000000000017</v>
      </c>
      <c r="D36">
        <f t="shared" si="1"/>
        <v>-4.0158371040724035</v>
      </c>
      <c r="E36">
        <v>39.18</v>
      </c>
      <c r="F36">
        <f t="shared" si="2"/>
        <v>5.240000000000002</v>
      </c>
      <c r="G36">
        <f t="shared" si="3"/>
        <v>15.439010017678264</v>
      </c>
    </row>
    <row r="37" spans="1:7" x14ac:dyDescent="0.25">
      <c r="A37" s="1">
        <v>39920</v>
      </c>
      <c r="B37">
        <v>35.36</v>
      </c>
      <c r="C37">
        <f t="shared" si="0"/>
        <v>-0.67999999999999972</v>
      </c>
      <c r="D37">
        <f t="shared" si="1"/>
        <v>-1.886792452830188</v>
      </c>
      <c r="E37">
        <v>33.94</v>
      </c>
      <c r="F37">
        <f t="shared" si="2"/>
        <v>-1.8500000000000014</v>
      </c>
      <c r="G37">
        <f t="shared" si="3"/>
        <v>-5.169041631740714</v>
      </c>
    </row>
    <row r="38" spans="1:7" x14ac:dyDescent="0.25">
      <c r="A38" s="1">
        <v>39919</v>
      </c>
      <c r="B38">
        <v>36.04</v>
      </c>
      <c r="C38">
        <f t="shared" si="0"/>
        <v>-1.8100000000000023</v>
      </c>
      <c r="D38">
        <f t="shared" si="1"/>
        <v>-4.7820343461030443</v>
      </c>
      <c r="E38">
        <v>35.79</v>
      </c>
      <c r="F38">
        <f t="shared" si="2"/>
        <v>-0.38000000000000256</v>
      </c>
      <c r="G38">
        <f t="shared" si="3"/>
        <v>-1.0505944152612732</v>
      </c>
    </row>
    <row r="39" spans="1:7" x14ac:dyDescent="0.25">
      <c r="A39" s="1">
        <v>39918</v>
      </c>
      <c r="B39">
        <v>37.85</v>
      </c>
      <c r="C39">
        <f t="shared" si="0"/>
        <v>-0.10000000000000142</v>
      </c>
      <c r="D39">
        <f t="shared" si="1"/>
        <v>-0.26350461133070202</v>
      </c>
      <c r="E39">
        <v>36.17</v>
      </c>
      <c r="F39">
        <f t="shared" si="2"/>
        <v>-1.5</v>
      </c>
      <c r="G39">
        <f t="shared" si="3"/>
        <v>-3.9819485001327313</v>
      </c>
    </row>
    <row r="40" spans="1:7" x14ac:dyDescent="0.25">
      <c r="A40" s="1">
        <v>39917</v>
      </c>
      <c r="B40">
        <v>37.950000000000003</v>
      </c>
      <c r="C40">
        <f t="shared" ref="C40:C71" si="4">IF(AND(ISNUMBER(B40),ISNUMBER(B41)), (B40 - B41), "")</f>
        <v>-0.36999999999999744</v>
      </c>
      <c r="D40">
        <f t="shared" ref="D40:D71" si="5">IF(AND(ISNUMBER(C40),ISNUMBER(B41)), (100*C40/ABS(B41)), "")</f>
        <v>-0.96555323590813524</v>
      </c>
      <c r="E40">
        <v>37.67</v>
      </c>
      <c r="F40">
        <f t="shared" ref="F40:F71" si="6">IF(AND(ISNUMBER(E40),ISNUMBER(E41)), (E40 - E41), "")</f>
        <v>-0.14000000000000057</v>
      </c>
      <c r="G40">
        <f t="shared" ref="G40:G71" si="7">IF(AND(ISNUMBER(F40),ISNUMBER(E41)), (100*F40/ABS(E41)), "")</f>
        <v>-0.37027241470510597</v>
      </c>
    </row>
    <row r="41" spans="1:7" x14ac:dyDescent="0.25">
      <c r="A41" s="1">
        <v>39916</v>
      </c>
      <c r="B41">
        <v>38.32</v>
      </c>
      <c r="C41">
        <f t="shared" si="4"/>
        <v>1.1000000000000014</v>
      </c>
      <c r="D41">
        <f t="shared" si="5"/>
        <v>2.955400322407312</v>
      </c>
      <c r="E41">
        <v>37.81</v>
      </c>
      <c r="F41">
        <f t="shared" si="6"/>
        <v>1.2800000000000011</v>
      </c>
      <c r="G41">
        <f t="shared" si="7"/>
        <v>3.5039693402682754</v>
      </c>
    </row>
    <row r="42" spans="1:7" x14ac:dyDescent="0.25">
      <c r="A42" s="1">
        <v>39912</v>
      </c>
      <c r="B42">
        <v>37.22</v>
      </c>
      <c r="C42">
        <f t="shared" si="4"/>
        <v>-3.1700000000000017</v>
      </c>
      <c r="D42">
        <f t="shared" si="5"/>
        <v>-7.8484773458776962</v>
      </c>
      <c r="E42">
        <v>36.53</v>
      </c>
      <c r="F42">
        <f t="shared" si="6"/>
        <v>-2.3200000000000003</v>
      </c>
      <c r="G42">
        <f t="shared" si="7"/>
        <v>-5.9716859716859725</v>
      </c>
    </row>
    <row r="43" spans="1:7" x14ac:dyDescent="0.25">
      <c r="A43" s="1">
        <v>39911</v>
      </c>
      <c r="B43">
        <v>40.39</v>
      </c>
      <c r="C43">
        <f t="shared" si="4"/>
        <v>-1.0899999999999963</v>
      </c>
      <c r="D43">
        <f t="shared" si="5"/>
        <v>-2.6277724204435784</v>
      </c>
      <c r="E43">
        <v>38.85</v>
      </c>
      <c r="F43">
        <f t="shared" si="6"/>
        <v>-1.5399999999999991</v>
      </c>
      <c r="G43">
        <f t="shared" si="7"/>
        <v>-3.8128249566724417</v>
      </c>
    </row>
    <row r="44" spans="1:7" x14ac:dyDescent="0.25">
      <c r="A44" s="1">
        <v>39910</v>
      </c>
      <c r="B44">
        <v>41.48</v>
      </c>
      <c r="C44">
        <f t="shared" si="4"/>
        <v>-0.48000000000000398</v>
      </c>
      <c r="D44">
        <f t="shared" si="5"/>
        <v>-1.1439466158246043</v>
      </c>
      <c r="E44">
        <v>40.39</v>
      </c>
      <c r="F44">
        <f t="shared" si="6"/>
        <v>-0.53999999999999915</v>
      </c>
      <c r="G44">
        <f t="shared" si="7"/>
        <v>-1.3193256779868048</v>
      </c>
    </row>
    <row r="45" spans="1:7" x14ac:dyDescent="0.25">
      <c r="A45" s="1">
        <v>39909</v>
      </c>
      <c r="B45">
        <v>41.96</v>
      </c>
      <c r="C45">
        <f t="shared" si="4"/>
        <v>-7.0000000000000284E-2</v>
      </c>
      <c r="D45">
        <f t="shared" si="5"/>
        <v>-0.1665477040209381</v>
      </c>
      <c r="E45">
        <v>40.93</v>
      </c>
      <c r="F45">
        <f t="shared" si="6"/>
        <v>1.2299999999999969</v>
      </c>
      <c r="G45">
        <f t="shared" si="7"/>
        <v>3.0982367758186315</v>
      </c>
    </row>
    <row r="46" spans="1:7" x14ac:dyDescent="0.25">
      <c r="A46" s="1">
        <v>39906</v>
      </c>
      <c r="B46">
        <v>42.03</v>
      </c>
      <c r="C46">
        <f t="shared" si="4"/>
        <v>-0.25</v>
      </c>
      <c r="D46">
        <f t="shared" si="5"/>
        <v>-0.59129612109744556</v>
      </c>
      <c r="E46">
        <v>39.700000000000003</v>
      </c>
      <c r="F46">
        <f t="shared" si="6"/>
        <v>-2.3399999999999963</v>
      </c>
      <c r="G46">
        <f t="shared" si="7"/>
        <v>-5.566127497621304</v>
      </c>
    </row>
    <row r="47" spans="1:7" x14ac:dyDescent="0.25">
      <c r="A47" s="1">
        <v>39905</v>
      </c>
      <c r="B47">
        <v>42.28</v>
      </c>
      <c r="C47">
        <f t="shared" si="4"/>
        <v>-3.1400000000000006</v>
      </c>
      <c r="D47">
        <f t="shared" si="5"/>
        <v>-6.9132540730955538</v>
      </c>
      <c r="E47">
        <v>42.04</v>
      </c>
      <c r="F47">
        <f t="shared" si="6"/>
        <v>-0.24000000000000199</v>
      </c>
      <c r="G47">
        <f t="shared" si="7"/>
        <v>-0.56764427625355252</v>
      </c>
    </row>
    <row r="48" spans="1:7" x14ac:dyDescent="0.25">
      <c r="A48" s="1">
        <v>39904</v>
      </c>
      <c r="B48">
        <v>45.42</v>
      </c>
      <c r="C48">
        <f t="shared" si="4"/>
        <v>-0.11999999999999744</v>
      </c>
      <c r="D48">
        <f t="shared" si="5"/>
        <v>-0.2635046113306927</v>
      </c>
      <c r="E48">
        <v>42.28</v>
      </c>
      <c r="F48">
        <f t="shared" si="6"/>
        <v>-1.8599999999999994</v>
      </c>
      <c r="G48">
        <f t="shared" si="7"/>
        <v>-4.213864975079292</v>
      </c>
    </row>
    <row r="49" spans="1:7" x14ac:dyDescent="0.25">
      <c r="A49" s="1">
        <v>39903</v>
      </c>
      <c r="B49">
        <v>45.54</v>
      </c>
      <c r="C49">
        <f t="shared" si="4"/>
        <v>0.67999999999999972</v>
      </c>
      <c r="D49">
        <f t="shared" si="5"/>
        <v>1.5158270173874269</v>
      </c>
      <c r="E49">
        <v>44.14</v>
      </c>
      <c r="F49">
        <f t="shared" si="6"/>
        <v>-1.3999999999999986</v>
      </c>
      <c r="G49">
        <f t="shared" si="7"/>
        <v>-3.0742204655248102</v>
      </c>
    </row>
    <row r="50" spans="1:7" x14ac:dyDescent="0.25">
      <c r="A50" s="1">
        <v>39902</v>
      </c>
      <c r="B50">
        <v>44.86</v>
      </c>
      <c r="C50">
        <f t="shared" si="4"/>
        <v>4.5</v>
      </c>
      <c r="D50">
        <f t="shared" si="5"/>
        <v>11.149653121902874</v>
      </c>
      <c r="E50">
        <v>45.54</v>
      </c>
      <c r="F50">
        <f t="shared" si="6"/>
        <v>4.5</v>
      </c>
      <c r="G50">
        <f t="shared" si="7"/>
        <v>10.964912280701755</v>
      </c>
    </row>
    <row r="51" spans="1:7" x14ac:dyDescent="0.25">
      <c r="A51" s="1">
        <v>39899</v>
      </c>
      <c r="B51">
        <v>40.36</v>
      </c>
      <c r="C51">
        <f t="shared" si="4"/>
        <v>-1.8900000000000006</v>
      </c>
      <c r="D51">
        <f t="shared" si="5"/>
        <v>-4.4733727810650903</v>
      </c>
      <c r="E51">
        <v>41.04</v>
      </c>
      <c r="F51">
        <f t="shared" si="6"/>
        <v>0.67999999999999972</v>
      </c>
      <c r="G51">
        <f t="shared" si="7"/>
        <v>1.6848364717542115</v>
      </c>
    </row>
    <row r="52" spans="1:7" x14ac:dyDescent="0.25">
      <c r="A52" s="1">
        <v>39898</v>
      </c>
      <c r="B52">
        <v>42.25</v>
      </c>
      <c r="C52">
        <f t="shared" si="4"/>
        <v>-0.10000000000000142</v>
      </c>
      <c r="D52">
        <f t="shared" si="5"/>
        <v>-0.23612750885478492</v>
      </c>
      <c r="E52">
        <v>40.36</v>
      </c>
      <c r="F52">
        <f t="shared" si="6"/>
        <v>-1.8900000000000006</v>
      </c>
      <c r="G52">
        <f t="shared" si="7"/>
        <v>-4.4733727810650903</v>
      </c>
    </row>
    <row r="53" spans="1:7" x14ac:dyDescent="0.25">
      <c r="A53" s="1">
        <v>39897</v>
      </c>
      <c r="B53">
        <v>42.35</v>
      </c>
      <c r="C53">
        <f t="shared" si="4"/>
        <v>-0.89000000000000057</v>
      </c>
      <c r="D53">
        <f t="shared" si="5"/>
        <v>-2.0582793709528229</v>
      </c>
      <c r="E53">
        <v>42.25</v>
      </c>
      <c r="F53">
        <f t="shared" si="6"/>
        <v>-0.67999999999999972</v>
      </c>
      <c r="G53">
        <f t="shared" si="7"/>
        <v>-1.5839739110179356</v>
      </c>
    </row>
    <row r="54" spans="1:7" x14ac:dyDescent="0.25">
      <c r="A54" s="1">
        <v>39896</v>
      </c>
      <c r="B54">
        <v>43.24</v>
      </c>
      <c r="C54">
        <f t="shared" si="4"/>
        <v>-2.6499999999999986</v>
      </c>
      <c r="D54">
        <f t="shared" si="5"/>
        <v>-5.7746785792111544</v>
      </c>
      <c r="E54">
        <v>42.93</v>
      </c>
      <c r="F54">
        <f t="shared" si="6"/>
        <v>-0.29999999999999716</v>
      </c>
      <c r="G54">
        <f t="shared" si="7"/>
        <v>-0.69396252602358821</v>
      </c>
    </row>
    <row r="55" spans="1:7" x14ac:dyDescent="0.25">
      <c r="A55" s="1">
        <v>39895</v>
      </c>
      <c r="B55">
        <v>45.89</v>
      </c>
      <c r="C55">
        <f t="shared" si="4"/>
        <v>2.2899999999999991</v>
      </c>
      <c r="D55">
        <f t="shared" si="5"/>
        <v>5.2522935779816491</v>
      </c>
      <c r="E55">
        <v>43.23</v>
      </c>
      <c r="F55">
        <f t="shared" si="6"/>
        <v>-2.6600000000000037</v>
      </c>
      <c r="G55">
        <f t="shared" si="7"/>
        <v>-5.7964698191327164</v>
      </c>
    </row>
    <row r="56" spans="1:7" x14ac:dyDescent="0.25">
      <c r="A56" s="1">
        <v>39892</v>
      </c>
      <c r="B56">
        <v>43.6</v>
      </c>
      <c r="C56">
        <f t="shared" si="4"/>
        <v>3.5399999999999991</v>
      </c>
      <c r="D56">
        <f t="shared" si="5"/>
        <v>8.8367448826759833</v>
      </c>
      <c r="E56">
        <v>45.89</v>
      </c>
      <c r="F56">
        <f t="shared" si="6"/>
        <v>2.2100000000000009</v>
      </c>
      <c r="G56">
        <f t="shared" si="7"/>
        <v>5.0595238095238111</v>
      </c>
    </row>
    <row r="57" spans="1:7" x14ac:dyDescent="0.25">
      <c r="A57" s="1">
        <v>39891</v>
      </c>
      <c r="B57">
        <v>40.06</v>
      </c>
      <c r="C57">
        <f t="shared" si="4"/>
        <v>-1.0799999999999983</v>
      </c>
      <c r="D57">
        <f t="shared" si="5"/>
        <v>-2.6251823043266853</v>
      </c>
      <c r="E57">
        <v>43.68</v>
      </c>
      <c r="F57">
        <f t="shared" si="6"/>
        <v>3.6199999999999974</v>
      </c>
      <c r="G57">
        <f t="shared" si="7"/>
        <v>9.0364453320019908</v>
      </c>
    </row>
    <row r="58" spans="1:7" x14ac:dyDescent="0.25">
      <c r="A58" s="1">
        <v>39890</v>
      </c>
      <c r="B58">
        <v>41.14</v>
      </c>
      <c r="C58">
        <f t="shared" si="4"/>
        <v>-3.0899999999999963</v>
      </c>
      <c r="D58">
        <f t="shared" si="5"/>
        <v>-6.9862084557992237</v>
      </c>
      <c r="E58">
        <v>40.06</v>
      </c>
      <c r="F58">
        <f t="shared" si="6"/>
        <v>-0.73999999999999488</v>
      </c>
      <c r="G58">
        <f t="shared" si="7"/>
        <v>-1.813725490196066</v>
      </c>
    </row>
    <row r="59" spans="1:7" x14ac:dyDescent="0.25">
      <c r="A59" s="1">
        <v>39889</v>
      </c>
      <c r="B59">
        <v>44.23</v>
      </c>
      <c r="C59">
        <f t="shared" si="4"/>
        <v>1.8699999999999974</v>
      </c>
      <c r="D59">
        <f t="shared" si="5"/>
        <v>4.4145420207743093</v>
      </c>
      <c r="E59">
        <v>40.799999999999997</v>
      </c>
      <c r="F59">
        <f t="shared" si="6"/>
        <v>-2.9400000000000048</v>
      </c>
      <c r="G59">
        <f t="shared" si="7"/>
        <v>-6.7215363511659909</v>
      </c>
    </row>
    <row r="60" spans="1:7" x14ac:dyDescent="0.25">
      <c r="A60" s="1">
        <v>39888</v>
      </c>
      <c r="B60">
        <v>42.36</v>
      </c>
      <c r="C60">
        <f t="shared" si="4"/>
        <v>1.3699999999999974</v>
      </c>
      <c r="D60">
        <f t="shared" si="5"/>
        <v>3.3422786045376855</v>
      </c>
      <c r="E60">
        <v>43.74</v>
      </c>
      <c r="F60">
        <f t="shared" si="6"/>
        <v>1.3800000000000026</v>
      </c>
      <c r="G60">
        <f t="shared" si="7"/>
        <v>3.2577903682719609</v>
      </c>
    </row>
    <row r="61" spans="1:7" x14ac:dyDescent="0.25">
      <c r="A61" s="1">
        <v>39885</v>
      </c>
      <c r="B61">
        <v>40.99</v>
      </c>
      <c r="C61">
        <f t="shared" si="4"/>
        <v>-2.5399999999999991</v>
      </c>
      <c r="D61">
        <f t="shared" si="5"/>
        <v>-5.8350562830232002</v>
      </c>
      <c r="E61">
        <v>42.36</v>
      </c>
      <c r="F61">
        <f t="shared" si="6"/>
        <v>1.1799999999999997</v>
      </c>
      <c r="G61">
        <f t="shared" si="7"/>
        <v>2.8654686741136466</v>
      </c>
    </row>
    <row r="62" spans="1:7" x14ac:dyDescent="0.25">
      <c r="A62" s="1">
        <v>39884</v>
      </c>
      <c r="B62">
        <v>43.53</v>
      </c>
      <c r="C62">
        <f t="shared" si="4"/>
        <v>0.17999999999999972</v>
      </c>
      <c r="D62">
        <f t="shared" si="5"/>
        <v>0.415224913494809</v>
      </c>
      <c r="E62">
        <v>41.18</v>
      </c>
      <c r="F62">
        <f t="shared" si="6"/>
        <v>-2.4299999999999997</v>
      </c>
      <c r="G62">
        <f t="shared" si="7"/>
        <v>-5.572116487044255</v>
      </c>
    </row>
    <row r="63" spans="1:7" x14ac:dyDescent="0.25">
      <c r="A63" s="1">
        <v>39883</v>
      </c>
      <c r="B63">
        <v>43.35</v>
      </c>
      <c r="C63">
        <f t="shared" si="4"/>
        <v>-6.3299999999999983</v>
      </c>
      <c r="D63">
        <f t="shared" si="5"/>
        <v>-12.741545893719803</v>
      </c>
      <c r="E63">
        <v>43.61</v>
      </c>
      <c r="F63">
        <f t="shared" si="6"/>
        <v>-0.75999999999999801</v>
      </c>
      <c r="G63">
        <f t="shared" si="7"/>
        <v>-1.71286905566824</v>
      </c>
    </row>
    <row r="64" spans="1:7" x14ac:dyDescent="0.25">
      <c r="A64" s="1">
        <v>39882</v>
      </c>
      <c r="B64">
        <v>49.68</v>
      </c>
      <c r="C64">
        <f t="shared" si="4"/>
        <v>0.32999999999999829</v>
      </c>
      <c r="D64">
        <f t="shared" si="5"/>
        <v>0.66869300911853757</v>
      </c>
      <c r="E64">
        <v>44.37</v>
      </c>
      <c r="F64">
        <f t="shared" si="6"/>
        <v>-5.3100000000000023</v>
      </c>
      <c r="G64">
        <f t="shared" si="7"/>
        <v>-10.688405797101455</v>
      </c>
    </row>
    <row r="65" spans="1:7" x14ac:dyDescent="0.25">
      <c r="A65" s="1">
        <v>39881</v>
      </c>
      <c r="B65">
        <v>49.35</v>
      </c>
      <c r="C65">
        <f t="shared" si="4"/>
        <v>-0.82000000000000028</v>
      </c>
      <c r="D65">
        <f t="shared" si="5"/>
        <v>-1.634442894159857</v>
      </c>
      <c r="E65">
        <v>49.68</v>
      </c>
      <c r="F65">
        <f t="shared" si="6"/>
        <v>0.35000000000000142</v>
      </c>
      <c r="G65">
        <f t="shared" si="7"/>
        <v>0.70950739914859406</v>
      </c>
    </row>
    <row r="66" spans="1:7" x14ac:dyDescent="0.25">
      <c r="A66" s="1">
        <v>39878</v>
      </c>
      <c r="B66">
        <v>50.17</v>
      </c>
      <c r="C66">
        <f t="shared" si="4"/>
        <v>2.6099999999999994</v>
      </c>
      <c r="D66">
        <f t="shared" si="5"/>
        <v>5.4878048780487791</v>
      </c>
      <c r="E66">
        <v>49.33</v>
      </c>
      <c r="F66">
        <f t="shared" si="6"/>
        <v>-0.84000000000000341</v>
      </c>
      <c r="G66">
        <f t="shared" si="7"/>
        <v>-1.6743073549930305</v>
      </c>
    </row>
    <row r="67" spans="1:7" x14ac:dyDescent="0.25">
      <c r="A67" s="1">
        <v>39877</v>
      </c>
      <c r="B67">
        <v>47.56</v>
      </c>
      <c r="C67">
        <f t="shared" si="4"/>
        <v>-0.46000000000000085</v>
      </c>
      <c r="D67">
        <f t="shared" si="5"/>
        <v>-0.95793419408579927</v>
      </c>
      <c r="E67">
        <v>50.17</v>
      </c>
      <c r="F67">
        <f t="shared" si="6"/>
        <v>2.6099999999999994</v>
      </c>
      <c r="G67">
        <f t="shared" si="7"/>
        <v>5.4878048780487791</v>
      </c>
    </row>
    <row r="68" spans="1:7" x14ac:dyDescent="0.25">
      <c r="A68" s="1">
        <v>39876</v>
      </c>
      <c r="B68">
        <v>48.02</v>
      </c>
      <c r="C68">
        <f t="shared" si="4"/>
        <v>-4.6299999999999955</v>
      </c>
      <c r="D68">
        <f t="shared" si="5"/>
        <v>-8.7939221272554526</v>
      </c>
      <c r="E68">
        <v>47.56</v>
      </c>
      <c r="F68">
        <f t="shared" si="6"/>
        <v>-3.3699999999999974</v>
      </c>
      <c r="G68">
        <f t="shared" si="7"/>
        <v>-6.6169251914392255</v>
      </c>
    </row>
    <row r="69" spans="1:7" x14ac:dyDescent="0.25">
      <c r="A69" s="1">
        <v>39875</v>
      </c>
      <c r="B69">
        <v>52.65</v>
      </c>
      <c r="C69">
        <f t="shared" si="4"/>
        <v>2.6899999999999977</v>
      </c>
      <c r="D69">
        <f t="shared" si="5"/>
        <v>5.384307445956761</v>
      </c>
      <c r="E69">
        <v>50.93</v>
      </c>
      <c r="F69">
        <f t="shared" si="6"/>
        <v>-1.7199999999999989</v>
      </c>
      <c r="G69">
        <f t="shared" si="7"/>
        <v>-3.2668566001899313</v>
      </c>
    </row>
    <row r="70" spans="1:7" x14ac:dyDescent="0.25">
      <c r="A70" s="1">
        <v>39874</v>
      </c>
      <c r="B70">
        <v>49.96</v>
      </c>
      <c r="C70">
        <f t="shared" si="4"/>
        <v>5.3000000000000043</v>
      </c>
      <c r="D70">
        <f t="shared" si="5"/>
        <v>11.867442901925672</v>
      </c>
      <c r="E70">
        <v>52.65</v>
      </c>
      <c r="F70">
        <f t="shared" si="6"/>
        <v>6.2999999999999972</v>
      </c>
      <c r="G70">
        <f t="shared" si="7"/>
        <v>13.592233009708732</v>
      </c>
    </row>
    <row r="71" spans="1:7" x14ac:dyDescent="0.25">
      <c r="A71" s="1">
        <v>39871</v>
      </c>
      <c r="B71">
        <v>44.66</v>
      </c>
      <c r="C71">
        <f t="shared" si="4"/>
        <v>0.90999999999999659</v>
      </c>
      <c r="D71">
        <f t="shared" si="5"/>
        <v>2.0799999999999921</v>
      </c>
      <c r="E71">
        <v>46.35</v>
      </c>
      <c r="F71">
        <f t="shared" si="6"/>
        <v>1.6900000000000048</v>
      </c>
      <c r="G71">
        <f t="shared" si="7"/>
        <v>3.7841468875951745</v>
      </c>
    </row>
    <row r="72" spans="1:7" x14ac:dyDescent="0.25">
      <c r="A72" s="1">
        <v>39870</v>
      </c>
      <c r="B72">
        <v>43.75</v>
      </c>
      <c r="C72">
        <f t="shared" ref="C72:C103" si="8">IF(AND(ISNUMBER(B72),ISNUMBER(B73)), (B72 - B73), "")</f>
        <v>-1.9799999999999969</v>
      </c>
      <c r="D72">
        <f t="shared" ref="D72:D103" si="9">IF(AND(ISNUMBER(C72),ISNUMBER(B73)), (100*C72/ABS(B73)), "")</f>
        <v>-4.3297616444347193</v>
      </c>
      <c r="E72">
        <v>44.66</v>
      </c>
      <c r="F72">
        <f t="shared" ref="F72:F103" si="10">IF(AND(ISNUMBER(E72),ISNUMBER(E73)), (E72 - E73), "")</f>
        <v>-1.0000000000005116E-2</v>
      </c>
      <c r="G72">
        <f t="shared" ref="G72:G103" si="11">IF(AND(ISNUMBER(F72),ISNUMBER(E73)), (100*F72/ABS(E73)), "")</f>
        <v>-2.2386389075453584E-2</v>
      </c>
    </row>
    <row r="73" spans="1:7" x14ac:dyDescent="0.25">
      <c r="A73" s="1">
        <v>39869</v>
      </c>
      <c r="B73">
        <v>45.73</v>
      </c>
      <c r="C73">
        <f t="shared" si="8"/>
        <v>-6.7700000000000031</v>
      </c>
      <c r="D73">
        <f t="shared" si="9"/>
        <v>-12.895238095238101</v>
      </c>
      <c r="E73">
        <v>44.67</v>
      </c>
      <c r="F73">
        <f t="shared" si="10"/>
        <v>-0.82000000000000028</v>
      </c>
      <c r="G73">
        <f t="shared" si="11"/>
        <v>-1.802593976698176</v>
      </c>
    </row>
    <row r="74" spans="1:7" x14ac:dyDescent="0.25">
      <c r="A74" s="1">
        <v>39868</v>
      </c>
      <c r="B74">
        <v>52.5</v>
      </c>
      <c r="C74">
        <f t="shared" si="8"/>
        <v>3.2000000000000028</v>
      </c>
      <c r="D74">
        <f t="shared" si="9"/>
        <v>6.490872210953353</v>
      </c>
      <c r="E74">
        <v>45.49</v>
      </c>
      <c r="F74">
        <f t="shared" si="10"/>
        <v>-7.1299999999999955</v>
      </c>
      <c r="G74">
        <f t="shared" si="11"/>
        <v>-13.549980995819071</v>
      </c>
    </row>
    <row r="75" spans="1:7" x14ac:dyDescent="0.25">
      <c r="A75" s="1">
        <v>39867</v>
      </c>
      <c r="B75">
        <v>49.3</v>
      </c>
      <c r="C75">
        <f t="shared" si="8"/>
        <v>2.2199999999999989</v>
      </c>
      <c r="D75">
        <f t="shared" si="9"/>
        <v>4.7153780798640588</v>
      </c>
      <c r="E75">
        <v>52.62</v>
      </c>
      <c r="F75">
        <f t="shared" si="10"/>
        <v>3.3200000000000003</v>
      </c>
      <c r="G75">
        <f t="shared" si="11"/>
        <v>6.7342799188640976</v>
      </c>
    </row>
    <row r="76" spans="1:7" x14ac:dyDescent="0.25">
      <c r="A76" s="1">
        <v>39864</v>
      </c>
      <c r="B76">
        <v>47.08</v>
      </c>
      <c r="C76">
        <f t="shared" si="8"/>
        <v>-1.4600000000000009</v>
      </c>
      <c r="D76">
        <f t="shared" si="9"/>
        <v>-3.00782859497322</v>
      </c>
      <c r="E76">
        <v>49.3</v>
      </c>
      <c r="F76">
        <f t="shared" si="10"/>
        <v>2.2199999999999989</v>
      </c>
      <c r="G76">
        <f t="shared" si="11"/>
        <v>4.7153780798640588</v>
      </c>
    </row>
    <row r="77" spans="1:7" x14ac:dyDescent="0.25">
      <c r="A77" s="1">
        <v>39863</v>
      </c>
      <c r="B77">
        <v>48.54</v>
      </c>
      <c r="C77">
        <f t="shared" si="8"/>
        <v>-0.11999999999999744</v>
      </c>
      <c r="D77">
        <f t="shared" si="9"/>
        <v>-0.24660912453760264</v>
      </c>
      <c r="E77">
        <v>47.08</v>
      </c>
      <c r="F77">
        <f t="shared" si="10"/>
        <v>-1.3800000000000026</v>
      </c>
      <c r="G77">
        <f t="shared" si="11"/>
        <v>-2.8477094510936909</v>
      </c>
    </row>
    <row r="78" spans="1:7" x14ac:dyDescent="0.25">
      <c r="A78" s="1">
        <v>39862</v>
      </c>
      <c r="B78">
        <v>48.66</v>
      </c>
      <c r="C78">
        <f t="shared" si="8"/>
        <v>0.51999999999999602</v>
      </c>
      <c r="D78">
        <f t="shared" si="9"/>
        <v>1.0801828001661737</v>
      </c>
      <c r="E78">
        <v>48.46</v>
      </c>
      <c r="F78">
        <f t="shared" si="10"/>
        <v>-0.19999999999999574</v>
      </c>
      <c r="G78">
        <f t="shared" si="11"/>
        <v>-0.41101520756267107</v>
      </c>
    </row>
    <row r="79" spans="1:7" x14ac:dyDescent="0.25">
      <c r="A79" s="1">
        <v>39861</v>
      </c>
      <c r="B79">
        <v>48.14</v>
      </c>
      <c r="C79">
        <f t="shared" si="8"/>
        <v>6.5399999999999991</v>
      </c>
      <c r="D79">
        <f t="shared" si="9"/>
        <v>15.721153846153843</v>
      </c>
      <c r="E79">
        <v>48.66</v>
      </c>
      <c r="F79">
        <f t="shared" si="10"/>
        <v>5.7299999999999969</v>
      </c>
      <c r="G79">
        <f t="shared" si="11"/>
        <v>13.34730957372466</v>
      </c>
    </row>
    <row r="80" spans="1:7" x14ac:dyDescent="0.25">
      <c r="A80" s="1">
        <v>39857</v>
      </c>
      <c r="B80">
        <v>41.6</v>
      </c>
      <c r="C80">
        <f t="shared" si="8"/>
        <v>-2.9200000000000017</v>
      </c>
      <c r="D80">
        <f t="shared" si="9"/>
        <v>-6.5588499550763739</v>
      </c>
      <c r="E80">
        <v>42.93</v>
      </c>
      <c r="F80">
        <f t="shared" si="10"/>
        <v>1.6799999999999997</v>
      </c>
      <c r="G80">
        <f t="shared" si="11"/>
        <v>4.0727272727272723</v>
      </c>
    </row>
    <row r="81" spans="1:7" x14ac:dyDescent="0.25">
      <c r="A81" s="1">
        <v>39856</v>
      </c>
      <c r="B81">
        <v>44.52</v>
      </c>
      <c r="C81">
        <f t="shared" si="8"/>
        <v>-2.1499999999999986</v>
      </c>
      <c r="D81">
        <f t="shared" si="9"/>
        <v>-4.6068137990143532</v>
      </c>
      <c r="E81">
        <v>41.25</v>
      </c>
      <c r="F81">
        <f t="shared" si="10"/>
        <v>-3.2800000000000011</v>
      </c>
      <c r="G81">
        <f t="shared" si="11"/>
        <v>-7.3658207949696859</v>
      </c>
    </row>
    <row r="82" spans="1:7" x14ac:dyDescent="0.25">
      <c r="A82" s="1">
        <v>39855</v>
      </c>
      <c r="B82">
        <v>46.67</v>
      </c>
      <c r="C82">
        <f t="shared" si="8"/>
        <v>1.5300000000000011</v>
      </c>
      <c r="D82">
        <f t="shared" si="9"/>
        <v>3.3894550287992935</v>
      </c>
      <c r="E82">
        <v>44.53</v>
      </c>
      <c r="F82">
        <f t="shared" si="10"/>
        <v>-2.1400000000000006</v>
      </c>
      <c r="G82">
        <f t="shared" si="11"/>
        <v>-4.5853867580887089</v>
      </c>
    </row>
    <row r="83" spans="1:7" x14ac:dyDescent="0.25">
      <c r="A83" s="1">
        <v>39854</v>
      </c>
      <c r="B83">
        <v>45.14</v>
      </c>
      <c r="C83">
        <f t="shared" si="8"/>
        <v>-0.25999999999999801</v>
      </c>
      <c r="D83">
        <f t="shared" si="9"/>
        <v>-0.5726872246695992</v>
      </c>
      <c r="E83">
        <v>46.67</v>
      </c>
      <c r="F83">
        <f t="shared" si="10"/>
        <v>3.0300000000000011</v>
      </c>
      <c r="G83">
        <f t="shared" si="11"/>
        <v>6.943171402383137</v>
      </c>
    </row>
    <row r="84" spans="1:7" x14ac:dyDescent="0.25">
      <c r="A84" s="1">
        <v>39853</v>
      </c>
      <c r="B84">
        <v>45.4</v>
      </c>
      <c r="C84">
        <f t="shared" si="8"/>
        <v>1.6899999999999977</v>
      </c>
      <c r="D84">
        <f t="shared" si="9"/>
        <v>3.8663921299473754</v>
      </c>
      <c r="E84">
        <v>43.64</v>
      </c>
      <c r="F84">
        <f t="shared" si="10"/>
        <v>0.27000000000000313</v>
      </c>
      <c r="G84">
        <f t="shared" si="11"/>
        <v>0.62255014987319146</v>
      </c>
    </row>
    <row r="85" spans="1:7" x14ac:dyDescent="0.25">
      <c r="A85" s="1">
        <v>39850</v>
      </c>
      <c r="B85">
        <v>43.71</v>
      </c>
      <c r="C85">
        <f t="shared" si="8"/>
        <v>-0.11999999999999744</v>
      </c>
      <c r="D85">
        <f t="shared" si="9"/>
        <v>-0.27378507871320429</v>
      </c>
      <c r="E85">
        <v>43.37</v>
      </c>
      <c r="F85">
        <f t="shared" si="10"/>
        <v>-0.35999999999999943</v>
      </c>
      <c r="G85">
        <f t="shared" si="11"/>
        <v>-0.82323347816144399</v>
      </c>
    </row>
    <row r="86" spans="1:7" x14ac:dyDescent="0.25">
      <c r="A86" s="1">
        <v>39849</v>
      </c>
      <c r="B86">
        <v>43.83</v>
      </c>
      <c r="C86">
        <f t="shared" si="8"/>
        <v>0.76999999999999602</v>
      </c>
      <c r="D86">
        <f t="shared" si="9"/>
        <v>1.7882025081281838</v>
      </c>
      <c r="E86">
        <v>43.73</v>
      </c>
      <c r="F86">
        <f t="shared" si="10"/>
        <v>-0.12000000000000455</v>
      </c>
      <c r="G86">
        <f t="shared" si="11"/>
        <v>-0.27366020524516432</v>
      </c>
    </row>
    <row r="87" spans="1:7" x14ac:dyDescent="0.25">
      <c r="A87" s="1">
        <v>39848</v>
      </c>
      <c r="B87">
        <v>43.06</v>
      </c>
      <c r="C87">
        <f t="shared" si="8"/>
        <v>-2.4600000000000009</v>
      </c>
      <c r="D87">
        <f t="shared" si="9"/>
        <v>-5.404217926186293</v>
      </c>
      <c r="E87">
        <v>43.85</v>
      </c>
      <c r="F87">
        <f t="shared" si="10"/>
        <v>0.78999999999999915</v>
      </c>
      <c r="G87">
        <f t="shared" si="11"/>
        <v>1.8346493265211312</v>
      </c>
    </row>
    <row r="88" spans="1:7" x14ac:dyDescent="0.25">
      <c r="A88" s="1">
        <v>39847</v>
      </c>
      <c r="B88">
        <v>45.52</v>
      </c>
      <c r="C88">
        <f t="shared" si="8"/>
        <v>-3.8999999999999986</v>
      </c>
      <c r="D88">
        <f t="shared" si="9"/>
        <v>-7.891541885876161</v>
      </c>
      <c r="E88">
        <v>43.06</v>
      </c>
      <c r="F88">
        <f t="shared" si="10"/>
        <v>-2.4600000000000009</v>
      </c>
      <c r="G88">
        <f t="shared" si="11"/>
        <v>-5.404217926186293</v>
      </c>
    </row>
    <row r="89" spans="1:7" x14ac:dyDescent="0.25">
      <c r="A89" s="1">
        <v>39846</v>
      </c>
      <c r="B89">
        <v>49.42</v>
      </c>
      <c r="C89">
        <f t="shared" si="8"/>
        <v>6.7899999999999991</v>
      </c>
      <c r="D89">
        <f t="shared" si="9"/>
        <v>15.927750410509027</v>
      </c>
      <c r="E89">
        <v>45.52</v>
      </c>
      <c r="F89">
        <f t="shared" si="10"/>
        <v>0.67999999999999972</v>
      </c>
      <c r="G89">
        <f t="shared" si="11"/>
        <v>1.5165031222123098</v>
      </c>
    </row>
    <row r="90" spans="1:7" x14ac:dyDescent="0.25">
      <c r="A90" s="1">
        <v>39843</v>
      </c>
      <c r="B90">
        <v>42.63</v>
      </c>
      <c r="C90">
        <f t="shared" si="8"/>
        <v>1.2899999999999991</v>
      </c>
      <c r="D90">
        <f t="shared" si="9"/>
        <v>3.120464441219156</v>
      </c>
      <c r="E90">
        <v>44.84</v>
      </c>
      <c r="F90">
        <f t="shared" si="10"/>
        <v>2.2100000000000009</v>
      </c>
      <c r="G90">
        <f t="shared" si="11"/>
        <v>5.1841426225662692</v>
      </c>
    </row>
    <row r="91" spans="1:7" x14ac:dyDescent="0.25">
      <c r="A91" s="1">
        <v>39842</v>
      </c>
      <c r="B91">
        <v>41.34</v>
      </c>
      <c r="C91">
        <f t="shared" si="8"/>
        <v>-0.90999999999999659</v>
      </c>
      <c r="D91">
        <f t="shared" si="9"/>
        <v>-2.1538461538461458</v>
      </c>
      <c r="E91">
        <v>42.63</v>
      </c>
      <c r="F91">
        <f t="shared" si="10"/>
        <v>2.970000000000006</v>
      </c>
      <c r="G91">
        <f t="shared" si="11"/>
        <v>7.4886535552193791</v>
      </c>
    </row>
    <row r="92" spans="1:7" x14ac:dyDescent="0.25">
      <c r="A92" s="1">
        <v>39841</v>
      </c>
      <c r="B92">
        <v>42.25</v>
      </c>
      <c r="C92">
        <f t="shared" si="8"/>
        <v>-2.8599999999999994</v>
      </c>
      <c r="D92">
        <f t="shared" si="9"/>
        <v>-6.3400576368876065</v>
      </c>
      <c r="E92">
        <v>39.659999999999997</v>
      </c>
      <c r="F92">
        <f t="shared" si="10"/>
        <v>-2.5900000000000034</v>
      </c>
      <c r="G92">
        <f t="shared" si="11"/>
        <v>-6.1301775147929076</v>
      </c>
    </row>
    <row r="93" spans="1:7" x14ac:dyDescent="0.25">
      <c r="A93" s="1">
        <v>39840</v>
      </c>
      <c r="B93">
        <v>45.11</v>
      </c>
      <c r="C93">
        <f t="shared" si="8"/>
        <v>-2.7800000000000011</v>
      </c>
      <c r="D93">
        <f t="shared" si="9"/>
        <v>-5.8049697222802275</v>
      </c>
      <c r="E93">
        <v>42.25</v>
      </c>
      <c r="F93">
        <f t="shared" si="10"/>
        <v>-3.4399999999999977</v>
      </c>
      <c r="G93">
        <f t="shared" si="11"/>
        <v>-7.5289997811337228</v>
      </c>
    </row>
    <row r="94" spans="1:7" x14ac:dyDescent="0.25">
      <c r="A94" s="1">
        <v>39839</v>
      </c>
      <c r="B94">
        <v>47.89</v>
      </c>
      <c r="C94">
        <f t="shared" si="8"/>
        <v>-2.5</v>
      </c>
      <c r="D94">
        <f t="shared" si="9"/>
        <v>-4.9613018456042868</v>
      </c>
      <c r="E94">
        <v>45.69</v>
      </c>
      <c r="F94">
        <f t="shared" si="10"/>
        <v>-1.5800000000000054</v>
      </c>
      <c r="G94">
        <f t="shared" si="11"/>
        <v>-3.3425005288766774</v>
      </c>
    </row>
    <row r="95" spans="1:7" x14ac:dyDescent="0.25">
      <c r="A95" s="1">
        <v>39836</v>
      </c>
      <c r="B95">
        <v>50.39</v>
      </c>
      <c r="C95">
        <f t="shared" si="8"/>
        <v>-0.25999999999999801</v>
      </c>
      <c r="D95">
        <f t="shared" si="9"/>
        <v>-0.51332675222112145</v>
      </c>
      <c r="E95">
        <v>47.27</v>
      </c>
      <c r="F95">
        <f t="shared" si="10"/>
        <v>-1.9999999999996021E-2</v>
      </c>
      <c r="G95">
        <f t="shared" si="11"/>
        <v>-4.2292239374066447E-2</v>
      </c>
    </row>
    <row r="96" spans="1:7" x14ac:dyDescent="0.25">
      <c r="A96" s="1">
        <v>39835</v>
      </c>
      <c r="B96">
        <v>50.65</v>
      </c>
      <c r="C96">
        <f t="shared" si="8"/>
        <v>-0.87000000000000455</v>
      </c>
      <c r="D96">
        <f t="shared" si="9"/>
        <v>-1.6886645962733007</v>
      </c>
      <c r="E96">
        <v>47.29</v>
      </c>
      <c r="F96">
        <f t="shared" si="10"/>
        <v>0.86999999999999744</v>
      </c>
      <c r="G96">
        <f t="shared" si="11"/>
        <v>1.8741921585523424</v>
      </c>
    </row>
    <row r="97" spans="1:7" x14ac:dyDescent="0.25">
      <c r="A97" s="1">
        <v>39834</v>
      </c>
      <c r="B97">
        <v>51.52</v>
      </c>
      <c r="C97">
        <f t="shared" si="8"/>
        <v>1.4000000000000057</v>
      </c>
      <c r="D97">
        <f t="shared" si="9"/>
        <v>2.7932960893854863</v>
      </c>
      <c r="E97">
        <v>46.42</v>
      </c>
      <c r="F97">
        <f t="shared" si="10"/>
        <v>-10.229999999999997</v>
      </c>
      <c r="G97">
        <f t="shared" si="11"/>
        <v>-18.05825242718446</v>
      </c>
    </row>
    <row r="98" spans="1:7" x14ac:dyDescent="0.25">
      <c r="A98" s="1">
        <v>39833</v>
      </c>
      <c r="B98">
        <v>50.12</v>
      </c>
      <c r="C98">
        <f t="shared" si="8"/>
        <v>-0.88000000000000256</v>
      </c>
      <c r="D98">
        <f t="shared" si="9"/>
        <v>-1.7254901960784363</v>
      </c>
      <c r="E98">
        <v>56.65</v>
      </c>
      <c r="F98">
        <f t="shared" si="10"/>
        <v>10.54</v>
      </c>
      <c r="G98">
        <f t="shared" si="11"/>
        <v>22.858382129689872</v>
      </c>
    </row>
    <row r="99" spans="1:7" x14ac:dyDescent="0.25">
      <c r="A99" s="1">
        <v>39829</v>
      </c>
      <c r="B99">
        <v>51</v>
      </c>
      <c r="C99">
        <f t="shared" si="8"/>
        <v>1.8599999999999994</v>
      </c>
      <c r="D99">
        <f t="shared" si="9"/>
        <v>3.7851037851037841</v>
      </c>
      <c r="E99">
        <v>46.11</v>
      </c>
      <c r="F99">
        <f t="shared" si="10"/>
        <v>-4.8900000000000006</v>
      </c>
      <c r="G99">
        <f t="shared" si="11"/>
        <v>-9.5882352941176485</v>
      </c>
    </row>
    <row r="100" spans="1:7" x14ac:dyDescent="0.25">
      <c r="A100" s="1">
        <v>39828</v>
      </c>
      <c r="B100">
        <v>49.14</v>
      </c>
      <c r="C100">
        <f t="shared" si="8"/>
        <v>2.8999999999999986</v>
      </c>
      <c r="D100">
        <f t="shared" si="9"/>
        <v>6.2716262975778516</v>
      </c>
      <c r="E100">
        <v>51</v>
      </c>
      <c r="F100">
        <f t="shared" si="10"/>
        <v>1.8599999999999994</v>
      </c>
      <c r="G100">
        <f t="shared" si="11"/>
        <v>3.7851037851037841</v>
      </c>
    </row>
    <row r="101" spans="1:7" x14ac:dyDescent="0.25">
      <c r="A101" s="1">
        <v>39827</v>
      </c>
      <c r="B101">
        <v>46.24</v>
      </c>
      <c r="C101">
        <f t="shared" si="8"/>
        <v>0.39999999999999858</v>
      </c>
      <c r="D101">
        <f t="shared" si="9"/>
        <v>0.8726003490401365</v>
      </c>
      <c r="E101">
        <v>49.14</v>
      </c>
      <c r="F101">
        <f t="shared" si="10"/>
        <v>5.8699999999999974</v>
      </c>
      <c r="G101">
        <f t="shared" si="11"/>
        <v>13.565981049225785</v>
      </c>
    </row>
    <row r="102" spans="1:7" x14ac:dyDescent="0.25">
      <c r="A102" s="1">
        <v>39826</v>
      </c>
      <c r="B102">
        <v>45.84</v>
      </c>
      <c r="C102">
        <f t="shared" si="8"/>
        <v>3.7800000000000011</v>
      </c>
      <c r="D102">
        <f t="shared" si="9"/>
        <v>8.9871611982881614</v>
      </c>
      <c r="E102">
        <v>43.27</v>
      </c>
      <c r="F102">
        <f t="shared" si="10"/>
        <v>-2.5700000000000003</v>
      </c>
      <c r="G102">
        <f t="shared" si="11"/>
        <v>-5.6064572425828967</v>
      </c>
    </row>
    <row r="103" spans="1:7" x14ac:dyDescent="0.25">
      <c r="A103" s="1">
        <v>39825</v>
      </c>
      <c r="B103">
        <v>42.06</v>
      </c>
      <c r="C103">
        <f t="shared" si="8"/>
        <v>0.88000000000000256</v>
      </c>
      <c r="D103">
        <f t="shared" si="9"/>
        <v>2.136959689169506</v>
      </c>
      <c r="E103">
        <v>45.84</v>
      </c>
      <c r="F103">
        <f t="shared" si="10"/>
        <v>3.0200000000000031</v>
      </c>
      <c r="G103">
        <f t="shared" si="11"/>
        <v>7.0527790751985133</v>
      </c>
    </row>
    <row r="104" spans="1:7" x14ac:dyDescent="0.25">
      <c r="A104" s="1">
        <v>39822</v>
      </c>
      <c r="B104">
        <v>41.18</v>
      </c>
      <c r="C104">
        <f t="shared" ref="C104:C135" si="12">IF(AND(ISNUMBER(B104),ISNUMBER(B105)), (B104 - B105), "")</f>
        <v>-2.2000000000000028</v>
      </c>
      <c r="D104">
        <f t="shared" ref="D104:D135" si="13">IF(AND(ISNUMBER(C104),ISNUMBER(B105)), (100*C104/ABS(B105)), "")</f>
        <v>-5.0714615029967787</v>
      </c>
      <c r="E104">
        <v>42.82</v>
      </c>
      <c r="F104">
        <f t="shared" ref="F104:F135" si="14">IF(AND(ISNUMBER(E104),ISNUMBER(E105)), (E104 - E105), "")</f>
        <v>0.25999999999999801</v>
      </c>
      <c r="G104">
        <f t="shared" ref="G104:G135" si="15">IF(AND(ISNUMBER(F104),ISNUMBER(E105)), (100*F104/ABS(E105)), "")</f>
        <v>0.61090225563909306</v>
      </c>
    </row>
    <row r="105" spans="1:7" x14ac:dyDescent="0.25">
      <c r="A105" s="1">
        <v>39821</v>
      </c>
      <c r="B105">
        <v>43.38</v>
      </c>
      <c r="C105">
        <f t="shared" si="12"/>
        <v>4.82</v>
      </c>
      <c r="D105">
        <f t="shared" si="13"/>
        <v>12.5</v>
      </c>
      <c r="E105">
        <v>42.56</v>
      </c>
      <c r="F105">
        <f t="shared" si="14"/>
        <v>-0.82999999999999829</v>
      </c>
      <c r="G105">
        <f t="shared" si="15"/>
        <v>-1.9128831528001804</v>
      </c>
    </row>
    <row r="106" spans="1:7" x14ac:dyDescent="0.25">
      <c r="A106" s="1">
        <v>39820</v>
      </c>
      <c r="B106">
        <v>38.56</v>
      </c>
      <c r="C106">
        <f t="shared" si="12"/>
        <v>0.5</v>
      </c>
      <c r="D106">
        <f t="shared" si="13"/>
        <v>1.3137151865475565</v>
      </c>
      <c r="E106">
        <v>43.39</v>
      </c>
      <c r="F106">
        <f t="shared" si="14"/>
        <v>4.8299999999999983</v>
      </c>
      <c r="G106">
        <f t="shared" si="15"/>
        <v>12.525933609958502</v>
      </c>
    </row>
    <row r="107" spans="1:7" x14ac:dyDescent="0.25">
      <c r="A107" s="1">
        <v>39819</v>
      </c>
      <c r="B107">
        <v>38.06</v>
      </c>
      <c r="C107">
        <f t="shared" si="12"/>
        <v>-1.1799999999999997</v>
      </c>
      <c r="D107">
        <f t="shared" si="13"/>
        <v>-3.0071355759429146</v>
      </c>
      <c r="E107">
        <v>38.56</v>
      </c>
      <c r="F107">
        <f t="shared" si="14"/>
        <v>-0.51999999999999602</v>
      </c>
      <c r="G107">
        <f t="shared" si="15"/>
        <v>-1.330603889457513</v>
      </c>
    </row>
    <row r="108" spans="1:7" x14ac:dyDescent="0.25">
      <c r="A108" s="1">
        <v>39818</v>
      </c>
      <c r="B108">
        <v>39.24</v>
      </c>
      <c r="C108">
        <f t="shared" si="12"/>
        <v>-0.33999999999999631</v>
      </c>
      <c r="D108">
        <f t="shared" si="13"/>
        <v>-0.85901970692267893</v>
      </c>
      <c r="E108">
        <v>39.08</v>
      </c>
      <c r="F108">
        <f t="shared" si="14"/>
        <v>-0.10999999999999943</v>
      </c>
      <c r="G108">
        <f t="shared" si="15"/>
        <v>-0.28068384792038642</v>
      </c>
    </row>
    <row r="109" spans="1:7" x14ac:dyDescent="0.25">
      <c r="A109" s="1">
        <v>39815</v>
      </c>
      <c r="B109">
        <v>39.58</v>
      </c>
      <c r="C109">
        <f t="shared" si="12"/>
        <v>-2.0500000000000043</v>
      </c>
      <c r="D109">
        <f t="shared" si="13"/>
        <v>-4.9243334134038053</v>
      </c>
      <c r="E109">
        <v>39.19</v>
      </c>
      <c r="F109">
        <f t="shared" si="14"/>
        <v>-0.81000000000000227</v>
      </c>
      <c r="G109">
        <f t="shared" si="15"/>
        <v>-2.0250000000000057</v>
      </c>
    </row>
    <row r="110" spans="1:7" x14ac:dyDescent="0.25">
      <c r="A110" s="1">
        <v>39813</v>
      </c>
      <c r="B110">
        <v>41.63</v>
      </c>
      <c r="C110" t="str">
        <f t="shared" si="12"/>
        <v/>
      </c>
      <c r="D110" t="str">
        <f t="shared" si="13"/>
        <v/>
      </c>
      <c r="E110">
        <v>40</v>
      </c>
      <c r="F110" t="str">
        <f t="shared" si="14"/>
        <v/>
      </c>
      <c r="G110" t="str">
        <f t="shared" si="15"/>
        <v/>
      </c>
    </row>
    <row r="111" spans="1:7" x14ac:dyDescent="0.25">
      <c r="C111" t="str">
        <f t="shared" si="12"/>
        <v/>
      </c>
      <c r="D111" t="str">
        <f t="shared" si="13"/>
        <v/>
      </c>
      <c r="F111" t="str">
        <f t="shared" si="14"/>
        <v/>
      </c>
      <c r="G111" t="str">
        <f t="shared" si="15"/>
        <v/>
      </c>
    </row>
    <row r="112" spans="1:7" x14ac:dyDescent="0.25">
      <c r="C112" t="str">
        <f t="shared" si="12"/>
        <v/>
      </c>
      <c r="D112" t="str">
        <f t="shared" si="13"/>
        <v/>
      </c>
      <c r="F112" t="str">
        <f t="shared" si="14"/>
        <v/>
      </c>
      <c r="G112" t="str">
        <f t="shared" si="15"/>
        <v/>
      </c>
    </row>
    <row r="113" spans="3:7" x14ac:dyDescent="0.25">
      <c r="C113" t="str">
        <f t="shared" si="12"/>
        <v/>
      </c>
      <c r="D113" t="str">
        <f t="shared" si="13"/>
        <v/>
      </c>
      <c r="F113" t="str">
        <f t="shared" si="14"/>
        <v/>
      </c>
      <c r="G113" t="str">
        <f t="shared" si="15"/>
        <v/>
      </c>
    </row>
    <row r="114" spans="3:7" x14ac:dyDescent="0.25">
      <c r="C114" t="str">
        <f t="shared" si="12"/>
        <v/>
      </c>
      <c r="D114" t="str">
        <f t="shared" si="13"/>
        <v/>
      </c>
      <c r="F114" t="str">
        <f t="shared" si="14"/>
        <v/>
      </c>
      <c r="G114" t="str">
        <f t="shared" si="15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LIBRARIES</cp:lastModifiedBy>
  <dcterms:created xsi:type="dcterms:W3CDTF">2013-04-03T15:49:21Z</dcterms:created>
  <dcterms:modified xsi:type="dcterms:W3CDTF">2026-06-03T00:14:25Z</dcterms:modified>
</cp:coreProperties>
</file>